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380\Downloads\"/>
    </mc:Choice>
  </mc:AlternateContent>
  <xr:revisionPtr revIDLastSave="0" documentId="13_ncr:1_{743E0547-B331-4C90-905D-BE569DF68495}" xr6:coauthVersionLast="47" xr6:coauthVersionMax="47" xr10:uidLastSave="{00000000-0000-0000-0000-000000000000}"/>
  <bookViews>
    <workbookView xWindow="-120" yWindow="-120" windowWidth="23280" windowHeight="14880" activeTab="1" xr2:uid="{91048C63-C892-4DA5-A1FD-1CE02FA725AE}"/>
  </bookViews>
  <sheets>
    <sheet name="Sheet1" sheetId="1" r:id="rId1"/>
    <sheet name="list" sheetId="2" r:id="rId2"/>
  </sheets>
  <definedNames>
    <definedName name="_xlnm._FilterDatabase" localSheetId="0" hidden="1">Sheet1!$B$1:$B$54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3" i="1"/>
  <c r="I7" i="1"/>
</calcChain>
</file>

<file path=xl/sharedStrings.xml><?xml version="1.0" encoding="utf-8"?>
<sst xmlns="http://schemas.openxmlformats.org/spreadsheetml/2006/main" count="184" uniqueCount="70">
  <si>
    <t>College</t>
  </si>
  <si>
    <t>Comp</t>
  </si>
  <si>
    <t>IT</t>
  </si>
  <si>
    <t>ENTC</t>
  </si>
  <si>
    <t>TSSMS's Pd. Vasantdada Patil Institute of Technology, Bavdhan, Pune</t>
  </si>
  <si>
    <t>Data Science</t>
  </si>
  <si>
    <t>Genba Sopanrao Moze Trust Parvatibai Genba Moze College of Engineering,Wagholi, Pune</t>
  </si>
  <si>
    <t>Progressive Education Society's Modern College of Engineering, Pune</t>
  </si>
  <si>
    <t>ENCE</t>
  </si>
  <si>
    <t>AIML</t>
  </si>
  <si>
    <t>Jaywant Shikshan Prasarak Mandal's,Rajarshi Shahu College of Engineering, Tathawade, Pune</t>
  </si>
  <si>
    <t>CS$BusinessSystems</t>
  </si>
  <si>
    <t>Genba Sopanrao Moze College of Engineering, Baner-Balewadi, Pune</t>
  </si>
  <si>
    <t>JSPM'S Jaywantrao Sawant College of Engineering,Pune</t>
  </si>
  <si>
    <t>MIT Academy of Engineering,Alandi, Pune</t>
  </si>
  <si>
    <t>Computer Engineering</t>
  </si>
  <si>
    <t>Siddhant College of Engineering, A/p Sudumbare, Tal.Maval, Dist-Pune</t>
  </si>
  <si>
    <t>G.H.Raisoni College of Engineering &amp; Management, Wagholi, Pune</t>
  </si>
  <si>
    <t>Marathwada Mitra Mandal's College of Engineering, Karvenagar, Pune</t>
  </si>
  <si>
    <t>Sinhgad College of Engineering, Vadgaon (BK), Pune</t>
  </si>
  <si>
    <t>(94.4922123</t>
  </si>
  <si>
    <t>PCCOE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</si>
  <si>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</si>
  <si>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</si>
  <si>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</si>
  <si>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Al-Ameen Educational and Medical Foundation, College of Engineering, Koregaon, Bhima</t>
  </si>
  <si>
    <t>Sinhgad Academy of Engineering, Kondhwa (BK) Kondhwa-Saswad Road, Pune</t>
  </si>
  <si>
    <t>Marathwada Mitra Mandal's Institute of Technology, Lohgaon, Pune</t>
  </si>
  <si>
    <t>Pune District Education Association's College of Engineering, Manjari(Bk), Hadapsar, Pune</t>
  </si>
  <si>
    <t>Dr. D. Y. Patil Unitech Society's Dr. D. Y. Patil Institute of Technology, Pimpri, Pune</t>
  </si>
  <si>
    <t>PICT</t>
  </si>
  <si>
    <t>Dr. D. Y. Patil Pratishthan's D.Y.Patil College of Engineering Akurdi, Pune</t>
  </si>
  <si>
    <t>VIT</t>
  </si>
  <si>
    <t>All India Shri Shivaji Memorial Society's College of Engineering, Pune</t>
  </si>
  <si>
    <t>Modern Education Society's Wadia College of Engineering, Pune</t>
  </si>
  <si>
    <t>All India Shri Shivaji Memorial Society's Institute of Information Technology,Pune</t>
  </si>
  <si>
    <t>Vidya Pratishthan's Kamalnayan Bajaj Institute of Engineering &amp; Technology, Baramati Dist.Pune</t>
  </si>
  <si>
    <t>Zeal Education Society's Zeal College of Engineering &amp; Reserch, Narhe, Pune</t>
  </si>
  <si>
    <t>Dhole Patil Education Society, Dhole Patil College of Engineering, Wagholi, Tal. Haveli</t>
  </si>
  <si>
    <t>Nutan Maharashtra Vidya Prasarak Mandal, Nutan Maharashtra Institute of Engineering &amp;Technology, Talegaon station, Pu</t>
  </si>
  <si>
    <t>Jayawant Shikshan Prasarak Mandal, Bhivarabai Sawant Institute of Technology &amp; Research, Wagholi</t>
  </si>
  <si>
    <t>Alard Charitable Trust's Alard College of Engineering and Management, Pune</t>
  </si>
  <si>
    <t>ISBM College Of Engineering Pune</t>
  </si>
  <si>
    <t>Universal College of Engineering &amp; Research, Sasewadi</t>
  </si>
  <si>
    <t>KJEI's Trinity Academy of Engineering, Yewalewadi, Pune</t>
  </si>
  <si>
    <t>TSSM's Bhivarabai Sawant College of Engineering and Research, Narhe, Pune</t>
  </si>
  <si>
    <t>Ajeenkya DY Patil School of Engineering, Lohegaon, Pune</t>
  </si>
  <si>
    <t>(91.4692991</t>
  </si>
  <si>
    <t>IIIT</t>
  </si>
  <si>
    <t>JSPM Narhe Technical Campus, Pune.</t>
  </si>
  <si>
    <t>P.K. Technical Campus, Pune.</t>
  </si>
  <si>
    <t>Rasiklal M. Dhariwal Sinhgad Technical Institutes Campus, Warje, Pune.</t>
  </si>
  <si>
    <t>SKN Sinhgad Institute of Technology &amp; Science, Kusgaon(BK),Pune.</t>
  </si>
  <si>
    <t>NBN Sinhgad Technical Institutes Campus, Pune</t>
  </si>
  <si>
    <t>Anantrao Pawar College of Engineering &amp; Research, Pune</t>
  </si>
  <si>
    <t>Bharati Vidyapeeth's College of Engineering,Lavale, Pune</t>
  </si>
  <si>
    <t>Dr. D.Y. Patil Technical Campus, Varale, Talegaon, Pune</t>
  </si>
  <si>
    <t>Yashoda Mahadeo Kakade College of Engineering, Talegaon</t>
  </si>
  <si>
    <t>DNYANVILAS COLLEGE OF ENGINEERING</t>
  </si>
  <si>
    <t>Audyogik Shikshan Mandal's Nextgen Technical Campus</t>
  </si>
  <si>
    <t>MES MUKUNDDAS LOHIA COLLEGE OF ENGINEERING</t>
  </si>
  <si>
    <t>Branch</t>
  </si>
  <si>
    <t xml:space="preserve">Shivnagar Vidya Prasarak Mandal's College of Engineering, Malegaon-Baramati, CANCEL </t>
  </si>
  <si>
    <t>Jagadamba Education Soc. Nashik's S.N.D. College of Engineering &amp; Reserch, Babulgaon, CANCEL</t>
  </si>
  <si>
    <t>Sinhgad Institute of Technology</t>
  </si>
  <si>
    <t>Cut Off</t>
  </si>
  <si>
    <t>Data science</t>
  </si>
  <si>
    <t>AI/ML</t>
  </si>
  <si>
    <t>It</t>
  </si>
  <si>
    <r>
      <t xml:space="preserve">Dhole Patil Education Society, Dhole Patil College of Engineering, Wagholi, Tal. Haveli - </t>
    </r>
    <r>
      <rPr>
        <b/>
        <sz val="11"/>
        <color rgb="FFFF0000"/>
        <rFont val="Calibri"/>
        <family val="2"/>
        <scheme val="minor"/>
      </rPr>
      <t>CAMPUS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</si>
</sst>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3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A97F-3537-49EE-9191-877DFBAC2E88}">
  <dimension ref="A1:I54"/>
  <sheetViews>
    <sheetView topLeftCell="A25" workbookViewId="0">
      <selection activeCell="A58" sqref="A58"/>
    </sheetView>
  </sheetViews>
  <sheetFormatPr defaultRowHeight="15" x14ac:dyDescent="0.25"/>
  <cols>
    <col min="1" max="1" width="111.5703125" bestFit="1" customWidth="1"/>
    <col min="5" max="5" width="12.140625" bestFit="1" customWidth="1"/>
    <col min="6" max="6" width="15.7109375" bestFit="1" customWidth="1"/>
    <col min="8" max="8" width="19.42578125" bestFit="1" customWidth="1"/>
    <col min="9" max="9" width="21.140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9</v>
      </c>
      <c r="H1" s="1" t="s">
        <v>11</v>
      </c>
      <c r="I1" s="1" t="s">
        <v>15</v>
      </c>
    </row>
    <row r="2" spans="1:9" s="2" customFormat="1" x14ac:dyDescent="0.25">
      <c r="A2" t="s">
        <v>31</v>
      </c>
      <c r="B2">
        <v>-97.626733799999997</v>
      </c>
      <c r="C2">
        <v>-97.344042000000002</v>
      </c>
      <c r="D2">
        <v>-95.803886899999995</v>
      </c>
      <c r="E2">
        <v>-97.095088799999999</v>
      </c>
      <c r="F2"/>
      <c r="G2"/>
      <c r="H2"/>
      <c r="I2"/>
    </row>
    <row r="3" spans="1:9" x14ac:dyDescent="0.25">
      <c r="A3" t="s">
        <v>29</v>
      </c>
      <c r="B3">
        <v>-97.097530899999995</v>
      </c>
      <c r="C3">
        <v>-96.937768700000007</v>
      </c>
      <c r="D3">
        <v>-94.908476699999994</v>
      </c>
      <c r="E3" t="e">
        <f>A8-96.1861934</f>
        <v>#VALUE!</v>
      </c>
    </row>
    <row r="4" spans="1:9" s="2" customFormat="1" x14ac:dyDescent="0.25">
      <c r="A4" t="s">
        <v>33</v>
      </c>
      <c r="B4">
        <v>-96.888857400000006</v>
      </c>
      <c r="C4"/>
      <c r="D4">
        <v>-95.296327700000006</v>
      </c>
      <c r="E4"/>
      <c r="F4"/>
      <c r="G4">
        <v>-95.970516000000003</v>
      </c>
      <c r="H4"/>
      <c r="I4"/>
    </row>
    <row r="5" spans="1:9" x14ac:dyDescent="0.25">
      <c r="A5" t="s">
        <v>10</v>
      </c>
      <c r="B5">
        <v>-96.830466799999996</v>
      </c>
      <c r="C5">
        <v>-96.409190199999998</v>
      </c>
      <c r="D5">
        <v>-94.492212300000006</v>
      </c>
      <c r="H5">
        <v>-96.000158999999996</v>
      </c>
    </row>
    <row r="6" spans="1:9" x14ac:dyDescent="0.25">
      <c r="A6" t="s">
        <v>35</v>
      </c>
      <c r="B6">
        <v>-96.511842099999996</v>
      </c>
      <c r="C6">
        <v>-96.063852299999994</v>
      </c>
      <c r="D6">
        <v>-94.289224300000001</v>
      </c>
      <c r="E6">
        <v>-95.788739800000002</v>
      </c>
    </row>
    <row r="7" spans="1:9" s="2" customFormat="1" x14ac:dyDescent="0.25">
      <c r="A7" t="s">
        <v>14</v>
      </c>
      <c r="B7">
        <v>-95.868115000000003</v>
      </c>
      <c r="C7">
        <v>-95.296327700000006</v>
      </c>
      <c r="D7">
        <v>-93.685127100000003</v>
      </c>
      <c r="E7">
        <v>-94.9432659</v>
      </c>
      <c r="F7"/>
      <c r="G7">
        <v>-95.135992299999998</v>
      </c>
      <c r="H7"/>
      <c r="I7" t="e">
        <f>A12-94.9067632</f>
        <v>#VALUE!</v>
      </c>
    </row>
    <row r="8" spans="1:9" x14ac:dyDescent="0.25">
      <c r="A8" t="s">
        <v>18</v>
      </c>
      <c r="B8">
        <v>-95.617918799999998</v>
      </c>
      <c r="C8">
        <v>-94.627716199999995</v>
      </c>
      <c r="D8">
        <v>-93.210156799999993</v>
      </c>
      <c r="E8">
        <v>-94.294461499999997</v>
      </c>
    </row>
    <row r="9" spans="1:9" x14ac:dyDescent="0.25">
      <c r="A9" t="s">
        <v>19</v>
      </c>
      <c r="B9">
        <v>-95.258636300000006</v>
      </c>
      <c r="C9" t="s">
        <v>20</v>
      </c>
    </row>
    <row r="10" spans="1:9" s="2" customFormat="1" x14ac:dyDescent="0.25">
      <c r="A10" t="s">
        <v>7</v>
      </c>
      <c r="B10">
        <v>-95.071775299999999</v>
      </c>
      <c r="C10">
        <v>-94.568589900000006</v>
      </c>
      <c r="D10">
        <v>-92.920261300000007</v>
      </c>
      <c r="E10">
        <v>-94.373827899999995</v>
      </c>
      <c r="F10">
        <v>-93.580683199999996</v>
      </c>
      <c r="G10">
        <v>-94.510623499999994</v>
      </c>
      <c r="H10"/>
      <c r="I10"/>
    </row>
    <row r="11" spans="1:9" x14ac:dyDescent="0.25">
      <c r="A11" t="s">
        <v>55</v>
      </c>
      <c r="B11">
        <v>-94.736454699999996</v>
      </c>
      <c r="D11">
        <v>-92.837631700000003</v>
      </c>
    </row>
    <row r="12" spans="1:9" x14ac:dyDescent="0.25">
      <c r="A12" t="s">
        <v>13</v>
      </c>
      <c r="B12">
        <v>-94.414884499999999</v>
      </c>
      <c r="C12">
        <v>-93.884934999999999</v>
      </c>
      <c r="D12">
        <v>-90.970538000000005</v>
      </c>
      <c r="E12">
        <v>-93.946706199999994</v>
      </c>
    </row>
    <row r="13" spans="1:9" x14ac:dyDescent="0.25">
      <c r="A13" t="s">
        <v>34</v>
      </c>
      <c r="B13">
        <v>-94.071604100000002</v>
      </c>
      <c r="D13">
        <v>-91.565086800000003</v>
      </c>
    </row>
    <row r="14" spans="1:9" x14ac:dyDescent="0.25">
      <c r="A14" t="s">
        <v>22</v>
      </c>
      <c r="B14">
        <v>-93.422096499999995</v>
      </c>
      <c r="C14">
        <v>-93.033270799999997</v>
      </c>
    </row>
    <row r="15" spans="1:9" x14ac:dyDescent="0.25">
      <c r="A15" t="s">
        <v>17</v>
      </c>
      <c r="B15">
        <v>-93.255736900000002</v>
      </c>
      <c r="C15">
        <v>-91.972622000000001</v>
      </c>
      <c r="D15">
        <v>-89.971265399999993</v>
      </c>
      <c r="E15">
        <v>-91.397968199999994</v>
      </c>
      <c r="G15">
        <v>-91.082077999999996</v>
      </c>
    </row>
    <row r="16" spans="1:9" x14ac:dyDescent="0.25">
      <c r="A16" t="s">
        <v>49</v>
      </c>
      <c r="B16">
        <v>-92.980712600000004</v>
      </c>
      <c r="D16">
        <v>-89.512889999999999</v>
      </c>
      <c r="E16">
        <v>-92.780518099999995</v>
      </c>
    </row>
    <row r="17" spans="1:9" x14ac:dyDescent="0.25">
      <c r="A17" t="s">
        <v>46</v>
      </c>
      <c r="B17">
        <v>-92.920261300000007</v>
      </c>
      <c r="D17">
        <v>-88.138730699999996</v>
      </c>
      <c r="E17" t="s">
        <v>47</v>
      </c>
    </row>
    <row r="18" spans="1:9" s="2" customFormat="1" x14ac:dyDescent="0.25">
      <c r="A18" t="s">
        <v>27</v>
      </c>
      <c r="B18">
        <v>-92.877079800000004</v>
      </c>
      <c r="C18"/>
      <c r="D18"/>
      <c r="E18">
        <v>-91.301571499999994</v>
      </c>
      <c r="F18"/>
      <c r="G18"/>
      <c r="H18"/>
      <c r="I18"/>
    </row>
    <row r="19" spans="1:9" x14ac:dyDescent="0.25">
      <c r="A19" t="s">
        <v>53</v>
      </c>
      <c r="B19">
        <v>-92.257541700000004</v>
      </c>
      <c r="C19">
        <v>-91.7521019</v>
      </c>
      <c r="D19">
        <v>-88.254497499999999</v>
      </c>
    </row>
    <row r="20" spans="1:9" x14ac:dyDescent="0.25">
      <c r="A20" t="s">
        <v>40</v>
      </c>
      <c r="B20">
        <v>-92.137809200000007</v>
      </c>
      <c r="C20">
        <v>-90.414266499999997</v>
      </c>
      <c r="D20">
        <v>-89.341238899999993</v>
      </c>
    </row>
    <row r="21" spans="1:9" x14ac:dyDescent="0.25">
      <c r="A21" t="s">
        <v>24</v>
      </c>
      <c r="B21">
        <v>-91.308228299999996</v>
      </c>
      <c r="C21">
        <v>-89.717439100000007</v>
      </c>
      <c r="D21">
        <v>-87.233531299999996</v>
      </c>
    </row>
    <row r="22" spans="1:9" s="2" customFormat="1" x14ac:dyDescent="0.25">
      <c r="A22" t="s">
        <v>39</v>
      </c>
      <c r="B22">
        <v>-91.011484100000004</v>
      </c>
      <c r="C22">
        <v>-90.303535499999995</v>
      </c>
      <c r="D22">
        <v>-87.923517899999993</v>
      </c>
      <c r="E22">
        <v>-90.044969300000005</v>
      </c>
      <c r="F22"/>
      <c r="G22">
        <v>-90.414266499999997</v>
      </c>
      <c r="H22"/>
      <c r="I22"/>
    </row>
    <row r="23" spans="1:9" x14ac:dyDescent="0.25">
      <c r="A23" t="s">
        <v>36</v>
      </c>
      <c r="B23">
        <v>-90.970538000000005</v>
      </c>
      <c r="C23">
        <v>-89.196209199999998</v>
      </c>
      <c r="D23">
        <v>-86.671819799999994</v>
      </c>
      <c r="G23">
        <v>-87.687217000000004</v>
      </c>
    </row>
    <row r="24" spans="1:9" x14ac:dyDescent="0.25">
      <c r="A24" t="s">
        <v>23</v>
      </c>
      <c r="B24">
        <v>-90.873990899999995</v>
      </c>
      <c r="C24">
        <v>-89.839160800000002</v>
      </c>
      <c r="D24">
        <v>-89.823102399999996</v>
      </c>
      <c r="E24">
        <v>-89.971265399999993</v>
      </c>
    </row>
    <row r="25" spans="1:9" x14ac:dyDescent="0.25">
      <c r="A25" t="s">
        <v>4</v>
      </c>
      <c r="B25">
        <v>-90.356643399999996</v>
      </c>
      <c r="D25">
        <v>-85.113911999999999</v>
      </c>
      <c r="E25">
        <v>-88.960919399999995</v>
      </c>
    </row>
    <row r="26" spans="1:9" x14ac:dyDescent="0.25">
      <c r="A26" t="s">
        <v>26</v>
      </c>
      <c r="B26">
        <v>-89.682715000000002</v>
      </c>
      <c r="C26">
        <v>-88.977378099999996</v>
      </c>
      <c r="D26">
        <v>-84.035988799999998</v>
      </c>
    </row>
    <row r="27" spans="1:9" s="2" customFormat="1" x14ac:dyDescent="0.25">
      <c r="A27" s="3" t="s">
        <v>51</v>
      </c>
      <c r="B27" s="2">
        <v>-89.2727273</v>
      </c>
      <c r="C27" s="2">
        <v>-88.084004399999998</v>
      </c>
      <c r="D27" s="2">
        <f>B29-84.9728618</f>
        <v>-173.73443550000002</v>
      </c>
    </row>
    <row r="28" spans="1:9" x14ac:dyDescent="0.25">
      <c r="A28" t="s">
        <v>64</v>
      </c>
      <c r="B28">
        <v>-88.868971700000003</v>
      </c>
      <c r="C28">
        <v>-90.017591699999997</v>
      </c>
      <c r="D28">
        <v>-82.881118900000004</v>
      </c>
    </row>
    <row r="29" spans="1:9" x14ac:dyDescent="0.25">
      <c r="A29" s="2" t="s">
        <v>42</v>
      </c>
      <c r="B29" s="2">
        <v>-88.7615737</v>
      </c>
      <c r="C29" s="2"/>
      <c r="D29" s="2">
        <v>-87.319640800000002</v>
      </c>
      <c r="E29" s="2">
        <v>-87.632286699999995</v>
      </c>
      <c r="F29" s="2"/>
      <c r="G29" s="2">
        <v>-88.382629199999997</v>
      </c>
      <c r="H29" s="2"/>
      <c r="I29" s="2"/>
    </row>
    <row r="30" spans="1:9" x14ac:dyDescent="0.25">
      <c r="A30" s="2" t="s">
        <v>54</v>
      </c>
      <c r="B30" s="2">
        <v>-88.537235100000004</v>
      </c>
      <c r="C30" s="2">
        <v>-87.032392900000005</v>
      </c>
      <c r="D30" s="2">
        <v>-82.216261299999999</v>
      </c>
      <c r="E30" s="2">
        <v>-87.566607500000003</v>
      </c>
      <c r="F30" s="2"/>
      <c r="G30" s="2"/>
      <c r="H30" s="2"/>
      <c r="I30" s="2"/>
    </row>
    <row r="31" spans="1:9" x14ac:dyDescent="0.25">
      <c r="A31" s="3" t="s">
        <v>45</v>
      </c>
      <c r="B31" s="2">
        <v>-87.927287800000002</v>
      </c>
      <c r="C31" s="2"/>
      <c r="D31" s="2">
        <v>-84.143771599999994</v>
      </c>
      <c r="E31" s="2"/>
      <c r="F31" s="2"/>
      <c r="G31" s="2"/>
      <c r="H31" s="2"/>
      <c r="I31" s="2"/>
    </row>
    <row r="32" spans="1:9" s="2" customFormat="1" x14ac:dyDescent="0.25">
      <c r="A32" t="s">
        <v>38</v>
      </c>
      <c r="B32">
        <v>-87.778555400000002</v>
      </c>
      <c r="C32">
        <v>-87.319640800000002</v>
      </c>
      <c r="D32">
        <v>-84.881118900000004</v>
      </c>
      <c r="E32"/>
      <c r="F32"/>
      <c r="G32"/>
      <c r="H32"/>
      <c r="I32"/>
    </row>
    <row r="33" spans="1:9" x14ac:dyDescent="0.25">
      <c r="A33" s="3" t="s">
        <v>44</v>
      </c>
      <c r="B33" s="2">
        <v>-87.683132799999996</v>
      </c>
      <c r="C33" s="2">
        <v>-85.191956099999999</v>
      </c>
      <c r="D33" s="2">
        <v>-79.373089199999995</v>
      </c>
      <c r="E33" s="2"/>
      <c r="F33" s="2"/>
      <c r="G33" s="2"/>
      <c r="H33" s="2"/>
      <c r="I33" s="2"/>
    </row>
    <row r="34" spans="1:9" x14ac:dyDescent="0.25">
      <c r="A34" s="2" t="s">
        <v>37</v>
      </c>
      <c r="B34" s="2">
        <v>-86.932250699999997</v>
      </c>
      <c r="C34" s="2">
        <v>-85.191956099999999</v>
      </c>
      <c r="D34" s="2">
        <v>-81.580490499999996</v>
      </c>
      <c r="E34" s="2">
        <v>-83.339724599999997</v>
      </c>
      <c r="F34" s="2"/>
      <c r="G34" s="2">
        <v>-83.205857800000004</v>
      </c>
      <c r="H34" s="2"/>
      <c r="I34" s="2"/>
    </row>
    <row r="35" spans="1:9" x14ac:dyDescent="0.25">
      <c r="A35" s="2" t="s">
        <v>41</v>
      </c>
      <c r="B35" s="2">
        <v>-86.675175100000004</v>
      </c>
      <c r="C35" s="2"/>
      <c r="D35" s="2">
        <v>-79.907202699999999</v>
      </c>
      <c r="E35" s="2"/>
      <c r="F35" s="2"/>
      <c r="G35" s="2">
        <v>-84.035988799999998</v>
      </c>
      <c r="H35" s="2"/>
      <c r="I35" s="2"/>
    </row>
    <row r="36" spans="1:9" s="2" customFormat="1" x14ac:dyDescent="0.25">
      <c r="A36" s="2" t="s">
        <v>28</v>
      </c>
      <c r="B36" s="2">
        <v>-86.386983299999997</v>
      </c>
      <c r="C36" s="2">
        <v>-85.964609699999997</v>
      </c>
      <c r="D36" s="2">
        <v>-83.880236999999994</v>
      </c>
      <c r="E36" s="2">
        <v>-87.915930500000002</v>
      </c>
    </row>
    <row r="37" spans="1:9" s="2" customFormat="1" x14ac:dyDescent="0.25">
      <c r="A37" s="3" t="s">
        <v>52</v>
      </c>
      <c r="B37" s="2">
        <v>-86.346220799999998</v>
      </c>
      <c r="C37" s="2">
        <v>-85.5207245</v>
      </c>
    </row>
    <row r="38" spans="1:9" x14ac:dyDescent="0.25">
      <c r="A38" s="4" t="s">
        <v>62</v>
      </c>
      <c r="B38" s="2">
        <v>-85.846153799999996</v>
      </c>
      <c r="C38" s="2">
        <v>-85.191956099999999</v>
      </c>
      <c r="D38" s="2">
        <v>-80.7175218</v>
      </c>
      <c r="E38" s="2"/>
      <c r="F38" s="2"/>
      <c r="G38" s="2">
        <v>-80.859907100000001</v>
      </c>
      <c r="H38" s="2"/>
      <c r="I38" s="2"/>
    </row>
    <row r="39" spans="1:9" s="2" customFormat="1" x14ac:dyDescent="0.25">
      <c r="A39" s="2" t="s">
        <v>6</v>
      </c>
      <c r="B39" s="2">
        <v>-85.618256400000007</v>
      </c>
      <c r="C39" s="2">
        <v>-84.329619500000007</v>
      </c>
      <c r="D39" s="2">
        <v>-81.284661299999996</v>
      </c>
      <c r="E39" s="2">
        <v>-83.902097900000001</v>
      </c>
    </row>
    <row r="40" spans="1:9" s="2" customFormat="1" x14ac:dyDescent="0.25">
      <c r="A40" s="2" t="s">
        <v>12</v>
      </c>
      <c r="B40" s="2">
        <v>-84.562720799999994</v>
      </c>
      <c r="C40" s="2">
        <v>-83.474181599999994</v>
      </c>
      <c r="D40" s="2">
        <v>-85.977536000000001</v>
      </c>
      <c r="E40" s="2">
        <v>-83.106039499999994</v>
      </c>
      <c r="G40" s="2">
        <v>-84.475254500000005</v>
      </c>
    </row>
    <row r="41" spans="1:9" x14ac:dyDescent="0.25">
      <c r="A41" s="2" t="s">
        <v>50</v>
      </c>
      <c r="B41" s="2">
        <v>-82.373669699999994</v>
      </c>
      <c r="C41" s="2"/>
      <c r="D41" s="2"/>
      <c r="E41" s="2"/>
      <c r="F41" s="2"/>
      <c r="G41" s="2"/>
      <c r="H41" s="2"/>
      <c r="I41" s="2"/>
    </row>
    <row r="42" spans="1:9" x14ac:dyDescent="0.25">
      <c r="A42" s="2" t="s">
        <v>16</v>
      </c>
      <c r="B42" s="2">
        <v>-79.698602899999997</v>
      </c>
      <c r="C42" s="2">
        <v>-81.632867099999999</v>
      </c>
      <c r="D42" s="2">
        <v>-75.488054099999999</v>
      </c>
      <c r="E42" s="2">
        <v>-77.538461499999997</v>
      </c>
      <c r="F42" s="2">
        <v>-61.129544899999999</v>
      </c>
      <c r="G42" s="2">
        <v>-73.435437899999997</v>
      </c>
      <c r="H42" s="2"/>
      <c r="I42" s="2"/>
    </row>
    <row r="43" spans="1:9" x14ac:dyDescent="0.25">
      <c r="A43" s="4" t="s">
        <v>25</v>
      </c>
      <c r="B43" s="2">
        <v>-77.014977400000006</v>
      </c>
      <c r="C43" s="2"/>
      <c r="D43" s="2">
        <v>-69.097902099999999</v>
      </c>
      <c r="E43" s="2"/>
      <c r="F43" s="2"/>
      <c r="G43" s="2"/>
      <c r="H43" s="2"/>
      <c r="I43" s="2"/>
    </row>
    <row r="44" spans="1:9" s="2" customFormat="1" x14ac:dyDescent="0.25">
      <c r="A44" s="2" t="s">
        <v>59</v>
      </c>
      <c r="B44" s="2">
        <v>-72.742941799999997</v>
      </c>
      <c r="D44" s="2">
        <v>-45.981628299999997</v>
      </c>
      <c r="E44" s="2">
        <v>-69.329589299999995</v>
      </c>
    </row>
    <row r="45" spans="1:9" s="2" customFormat="1" x14ac:dyDescent="0.25">
      <c r="A45" s="2" t="s">
        <v>57</v>
      </c>
      <c r="B45" s="2">
        <v>-67.217708999999999</v>
      </c>
      <c r="C45" s="2">
        <v>-63.824451400000001</v>
      </c>
      <c r="D45" s="2">
        <v>-52.362232400000003</v>
      </c>
      <c r="E45" s="2">
        <v>-64.345384300000006</v>
      </c>
    </row>
    <row r="46" spans="1:9" s="2" customFormat="1" x14ac:dyDescent="0.25">
      <c r="A46" s="4" t="s">
        <v>63</v>
      </c>
      <c r="B46" s="2">
        <v>-66.297202799999994</v>
      </c>
      <c r="C46" s="2">
        <v>-65.519064099999994</v>
      </c>
      <c r="D46" s="2">
        <v>-49.225621699999998</v>
      </c>
    </row>
    <row r="47" spans="1:9" x14ac:dyDescent="0.25">
      <c r="A47" s="2" t="s">
        <v>60</v>
      </c>
      <c r="B47" s="2">
        <v>55.2744499</v>
      </c>
      <c r="C47" s="2">
        <v>-49.341622700000002</v>
      </c>
      <c r="D47" s="2">
        <v>-15.820114999999999</v>
      </c>
      <c r="E47" s="2">
        <v>-73.748251699999997</v>
      </c>
      <c r="F47" s="2"/>
      <c r="G47" s="2"/>
      <c r="H47" s="2"/>
      <c r="I47" s="2"/>
    </row>
    <row r="48" spans="1:9" s="2" customFormat="1" x14ac:dyDescent="0.25">
      <c r="A48" t="s">
        <v>21</v>
      </c>
      <c r="B48"/>
      <c r="C48"/>
      <c r="D48"/>
      <c r="E48"/>
      <c r="F48"/>
      <c r="G48"/>
      <c r="H48"/>
      <c r="I48"/>
    </row>
    <row r="49" spans="1:9" x14ac:dyDescent="0.25">
      <c r="A49" t="s">
        <v>30</v>
      </c>
    </row>
    <row r="50" spans="1:9" s="2" customFormat="1" x14ac:dyDescent="0.25">
      <c r="A50" t="s">
        <v>32</v>
      </c>
      <c r="B50"/>
      <c r="C50"/>
      <c r="D50"/>
      <c r="E50"/>
      <c r="F50"/>
      <c r="G50"/>
      <c r="H50"/>
      <c r="I50"/>
    </row>
    <row r="51" spans="1:9" s="2" customFormat="1" x14ac:dyDescent="0.25">
      <c r="A51" t="s">
        <v>43</v>
      </c>
      <c r="B51"/>
      <c r="C51"/>
      <c r="D51"/>
      <c r="E51"/>
      <c r="F51"/>
      <c r="G51"/>
      <c r="H51"/>
      <c r="I51"/>
    </row>
    <row r="52" spans="1:9" s="2" customFormat="1" x14ac:dyDescent="0.25">
      <c r="A52" t="s">
        <v>48</v>
      </c>
      <c r="B52"/>
      <c r="C52"/>
      <c r="D52"/>
      <c r="E52"/>
      <c r="F52"/>
      <c r="G52"/>
      <c r="H52"/>
      <c r="I52"/>
    </row>
    <row r="53" spans="1:9" s="2" customFormat="1" x14ac:dyDescent="0.25">
      <c r="A53" s="2" t="s">
        <v>56</v>
      </c>
      <c r="D53" s="2">
        <v>-82.373669699999994</v>
      </c>
      <c r="E53" s="2">
        <v>-87.349947299999997</v>
      </c>
    </row>
    <row r="54" spans="1:9" s="2" customFormat="1" x14ac:dyDescent="0.25">
      <c r="A54" s="2" t="s">
        <v>58</v>
      </c>
    </row>
  </sheetData>
  <autoFilter ref="B1:B54" xr:uid="{D505A97F-3537-49EE-9191-877DFBAC2E88}">
    <sortState xmlns:xlrd2="http://schemas.microsoft.com/office/spreadsheetml/2017/richdata2" ref="A2:I54">
      <sortCondition ref="B1:B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01F8-08A8-4AB3-B417-4E2D976F2E8B}">
  <dimension ref="A1:C84"/>
  <sheetViews>
    <sheetView tabSelected="1" topLeftCell="A60" workbookViewId="0">
      <selection activeCell="A84" sqref="A84"/>
    </sheetView>
  </sheetViews>
  <sheetFormatPr defaultRowHeight="15" x14ac:dyDescent="0.25"/>
  <cols>
    <col min="1" max="1" width="111.5703125" bestFit="1" customWidth="1"/>
    <col min="2" max="2" width="12" bestFit="1" customWidth="1"/>
  </cols>
  <sheetData>
    <row r="1" spans="1:3" s="1" customFormat="1" x14ac:dyDescent="0.25">
      <c r="A1" s="1" t="s">
        <v>0</v>
      </c>
      <c r="B1" s="1" t="s">
        <v>61</v>
      </c>
      <c r="C1" s="1" t="s">
        <v>65</v>
      </c>
    </row>
    <row r="2" spans="1:3" x14ac:dyDescent="0.25">
      <c r="A2" t="s">
        <v>31</v>
      </c>
      <c r="B2" t="s">
        <v>1</v>
      </c>
      <c r="C2">
        <v>97.6267</v>
      </c>
    </row>
    <row r="3" spans="1:3" x14ac:dyDescent="0.25">
      <c r="B3" t="s">
        <v>2</v>
      </c>
      <c r="C3">
        <v>97.343999999999994</v>
      </c>
    </row>
    <row r="4" spans="1:3" x14ac:dyDescent="0.25">
      <c r="B4" t="s">
        <v>66</v>
      </c>
      <c r="C4">
        <v>97.09</v>
      </c>
    </row>
    <row r="5" spans="1:3" x14ac:dyDescent="0.25">
      <c r="A5" t="s">
        <v>29</v>
      </c>
      <c r="B5" t="s">
        <v>1</v>
      </c>
      <c r="C5">
        <v>97.09</v>
      </c>
    </row>
    <row r="6" spans="1:3" x14ac:dyDescent="0.25">
      <c r="B6" t="s">
        <v>2</v>
      </c>
      <c r="C6">
        <v>96.93</v>
      </c>
    </row>
    <row r="7" spans="1:3" x14ac:dyDescent="0.25">
      <c r="A7" t="s">
        <v>33</v>
      </c>
      <c r="B7" t="s">
        <v>1</v>
      </c>
      <c r="C7">
        <v>96.88</v>
      </c>
    </row>
    <row r="8" spans="1:3" x14ac:dyDescent="0.25">
      <c r="B8" t="s">
        <v>67</v>
      </c>
      <c r="C8">
        <v>95.97</v>
      </c>
    </row>
    <row r="9" spans="1:3" x14ac:dyDescent="0.25">
      <c r="A9" t="s">
        <v>10</v>
      </c>
      <c r="B9" t="s">
        <v>1</v>
      </c>
      <c r="C9">
        <v>96.83</v>
      </c>
    </row>
    <row r="10" spans="1:3" x14ac:dyDescent="0.25">
      <c r="B10" t="s">
        <v>2</v>
      </c>
      <c r="C10">
        <v>96.4</v>
      </c>
    </row>
    <row r="11" spans="1:3" x14ac:dyDescent="0.25">
      <c r="A11" t="s">
        <v>35</v>
      </c>
      <c r="B11" t="s">
        <v>1</v>
      </c>
      <c r="C11">
        <v>96.51</v>
      </c>
    </row>
    <row r="12" spans="1:3" x14ac:dyDescent="0.25">
      <c r="B12" t="s">
        <v>2</v>
      </c>
      <c r="C12">
        <v>96.06</v>
      </c>
    </row>
    <row r="13" spans="1:3" x14ac:dyDescent="0.25">
      <c r="B13" t="s">
        <v>66</v>
      </c>
      <c r="C13">
        <v>95.78</v>
      </c>
    </row>
    <row r="14" spans="1:3" x14ac:dyDescent="0.25">
      <c r="A14" t="s">
        <v>18</v>
      </c>
      <c r="B14" t="s">
        <v>1</v>
      </c>
      <c r="C14">
        <v>95.61</v>
      </c>
    </row>
    <row r="15" spans="1:3" x14ac:dyDescent="0.25">
      <c r="B15" t="s">
        <v>2</v>
      </c>
      <c r="C15">
        <v>94.62</v>
      </c>
    </row>
    <row r="16" spans="1:3" x14ac:dyDescent="0.25">
      <c r="B16" t="s">
        <v>66</v>
      </c>
      <c r="C16">
        <v>94.29</v>
      </c>
    </row>
    <row r="17" spans="1:3" x14ac:dyDescent="0.25">
      <c r="A17" t="s">
        <v>19</v>
      </c>
      <c r="B17" t="s">
        <v>1</v>
      </c>
      <c r="C17">
        <v>95.25</v>
      </c>
    </row>
    <row r="18" spans="1:3" x14ac:dyDescent="0.25">
      <c r="B18" t="s">
        <v>2</v>
      </c>
      <c r="C18">
        <v>94.49</v>
      </c>
    </row>
    <row r="19" spans="1:3" x14ac:dyDescent="0.25">
      <c r="A19" t="s">
        <v>7</v>
      </c>
      <c r="B19" t="s">
        <v>1</v>
      </c>
      <c r="C19">
        <v>95.07</v>
      </c>
    </row>
    <row r="20" spans="1:3" x14ac:dyDescent="0.25">
      <c r="B20" t="s">
        <v>2</v>
      </c>
      <c r="C20">
        <v>94.56</v>
      </c>
    </row>
    <row r="21" spans="1:3" x14ac:dyDescent="0.25">
      <c r="B21" t="s">
        <v>67</v>
      </c>
      <c r="C21">
        <v>94.51</v>
      </c>
    </row>
    <row r="22" spans="1:3" x14ac:dyDescent="0.25">
      <c r="B22" t="s">
        <v>66</v>
      </c>
      <c r="C22">
        <v>94.37</v>
      </c>
    </row>
    <row r="23" spans="1:3" x14ac:dyDescent="0.25">
      <c r="A23" t="s">
        <v>55</v>
      </c>
      <c r="B23" t="s">
        <v>1</v>
      </c>
      <c r="C23">
        <v>94.73</v>
      </c>
    </row>
    <row r="24" spans="1:3" x14ac:dyDescent="0.25">
      <c r="A24" t="s">
        <v>13</v>
      </c>
      <c r="B24" t="s">
        <v>1</v>
      </c>
      <c r="C24">
        <v>94.41</v>
      </c>
    </row>
    <row r="25" spans="1:3" x14ac:dyDescent="0.25">
      <c r="B25" t="s">
        <v>2</v>
      </c>
      <c r="C25">
        <v>93.88</v>
      </c>
    </row>
    <row r="26" spans="1:3" x14ac:dyDescent="0.25">
      <c r="B26" t="s">
        <v>66</v>
      </c>
      <c r="C26">
        <v>93.94</v>
      </c>
    </row>
    <row r="27" spans="1:3" x14ac:dyDescent="0.25">
      <c r="A27" t="s">
        <v>34</v>
      </c>
      <c r="B27" t="s">
        <v>1</v>
      </c>
      <c r="C27">
        <v>94.07</v>
      </c>
    </row>
    <row r="28" spans="1:3" x14ac:dyDescent="0.25">
      <c r="A28" t="s">
        <v>22</v>
      </c>
      <c r="B28" t="s">
        <v>1</v>
      </c>
      <c r="C28">
        <v>93.42</v>
      </c>
    </row>
    <row r="29" spans="1:3" x14ac:dyDescent="0.25">
      <c r="B29" t="s">
        <v>2</v>
      </c>
      <c r="C29">
        <v>93.03</v>
      </c>
    </row>
    <row r="30" spans="1:3" x14ac:dyDescent="0.25">
      <c r="A30" t="s">
        <v>17</v>
      </c>
      <c r="B30" t="s">
        <v>1</v>
      </c>
      <c r="C30">
        <v>93.25</v>
      </c>
    </row>
    <row r="31" spans="1:3" x14ac:dyDescent="0.25">
      <c r="B31" t="s">
        <v>2</v>
      </c>
      <c r="C31">
        <v>91.97</v>
      </c>
    </row>
    <row r="32" spans="1:3" x14ac:dyDescent="0.25">
      <c r="B32" t="s">
        <v>67</v>
      </c>
      <c r="C32">
        <v>91.08</v>
      </c>
    </row>
    <row r="33" spans="1:3" x14ac:dyDescent="0.25">
      <c r="B33" t="s">
        <v>66</v>
      </c>
      <c r="C33">
        <v>91.39</v>
      </c>
    </row>
    <row r="34" spans="1:3" x14ac:dyDescent="0.25">
      <c r="A34" t="s">
        <v>49</v>
      </c>
      <c r="B34" t="s">
        <v>1</v>
      </c>
      <c r="C34">
        <v>92.98</v>
      </c>
    </row>
    <row r="35" spans="1:3" x14ac:dyDescent="0.25">
      <c r="B35" t="s">
        <v>66</v>
      </c>
      <c r="C35">
        <v>92.78</v>
      </c>
    </row>
    <row r="36" spans="1:3" x14ac:dyDescent="0.25">
      <c r="A36" t="s">
        <v>27</v>
      </c>
      <c r="B36" t="s">
        <v>1</v>
      </c>
      <c r="C36">
        <v>92.87</v>
      </c>
    </row>
    <row r="37" spans="1:3" x14ac:dyDescent="0.25">
      <c r="B37" t="s">
        <v>66</v>
      </c>
      <c r="C37">
        <v>91.3</v>
      </c>
    </row>
    <row r="38" spans="1:3" x14ac:dyDescent="0.25">
      <c r="A38" t="s">
        <v>53</v>
      </c>
      <c r="B38" t="s">
        <v>1</v>
      </c>
      <c r="C38">
        <v>92.25</v>
      </c>
    </row>
    <row r="39" spans="1:3" x14ac:dyDescent="0.25">
      <c r="B39" t="s">
        <v>2</v>
      </c>
      <c r="C39">
        <v>91.75</v>
      </c>
    </row>
    <row r="40" spans="1:3" x14ac:dyDescent="0.25">
      <c r="A40" t="s">
        <v>40</v>
      </c>
      <c r="B40" t="s">
        <v>1</v>
      </c>
      <c r="C40">
        <v>92.13</v>
      </c>
    </row>
    <row r="41" spans="1:3" x14ac:dyDescent="0.25">
      <c r="B41" t="s">
        <v>2</v>
      </c>
      <c r="C41">
        <v>90.41</v>
      </c>
    </row>
    <row r="42" spans="1:3" x14ac:dyDescent="0.25">
      <c r="A42" t="s">
        <v>24</v>
      </c>
      <c r="B42" t="s">
        <v>1</v>
      </c>
      <c r="C42">
        <v>91.3</v>
      </c>
    </row>
    <row r="43" spans="1:3" x14ac:dyDescent="0.25">
      <c r="B43" t="s">
        <v>2</v>
      </c>
      <c r="C43">
        <v>89.71</v>
      </c>
    </row>
    <row r="44" spans="1:3" x14ac:dyDescent="0.25">
      <c r="A44" t="s">
        <v>39</v>
      </c>
      <c r="B44" t="s">
        <v>1</v>
      </c>
      <c r="C44">
        <v>91.01</v>
      </c>
    </row>
    <row r="45" spans="1:3" x14ac:dyDescent="0.25">
      <c r="B45" t="s">
        <v>68</v>
      </c>
      <c r="C45">
        <v>90.3</v>
      </c>
    </row>
    <row r="46" spans="1:3" x14ac:dyDescent="0.25">
      <c r="B46" t="s">
        <v>67</v>
      </c>
      <c r="C46">
        <v>90.41</v>
      </c>
    </row>
    <row r="47" spans="1:3" x14ac:dyDescent="0.25">
      <c r="B47" t="s">
        <v>66</v>
      </c>
      <c r="C47">
        <v>90.04</v>
      </c>
    </row>
    <row r="48" spans="1:3" x14ac:dyDescent="0.25">
      <c r="A48" t="s">
        <v>23</v>
      </c>
      <c r="B48" t="s">
        <v>1</v>
      </c>
      <c r="C48">
        <v>90.87</v>
      </c>
    </row>
    <row r="49" spans="1:3" x14ac:dyDescent="0.25">
      <c r="B49" t="s">
        <v>2</v>
      </c>
      <c r="C49">
        <v>89.83</v>
      </c>
    </row>
    <row r="50" spans="1:3" x14ac:dyDescent="0.25">
      <c r="B50" t="s">
        <v>66</v>
      </c>
      <c r="C50">
        <v>89.97</v>
      </c>
    </row>
    <row r="51" spans="1:3" x14ac:dyDescent="0.25">
      <c r="A51" t="s">
        <v>4</v>
      </c>
      <c r="B51" t="s">
        <v>1</v>
      </c>
      <c r="C51">
        <v>90.35</v>
      </c>
    </row>
    <row r="52" spans="1:3" x14ac:dyDescent="0.25">
      <c r="B52" t="s">
        <v>66</v>
      </c>
      <c r="C52">
        <v>88.96</v>
      </c>
    </row>
    <row r="53" spans="1:3" x14ac:dyDescent="0.25">
      <c r="A53" t="s">
        <v>51</v>
      </c>
      <c r="B53" t="s">
        <v>1</v>
      </c>
      <c r="C53">
        <v>89.27</v>
      </c>
    </row>
    <row r="54" spans="1:3" x14ac:dyDescent="0.25">
      <c r="B54" t="s">
        <v>2</v>
      </c>
      <c r="C54">
        <v>73.73</v>
      </c>
    </row>
    <row r="55" spans="1:3" x14ac:dyDescent="0.25">
      <c r="A55" t="s">
        <v>64</v>
      </c>
      <c r="B55" t="s">
        <v>1</v>
      </c>
      <c r="C55">
        <v>88.86</v>
      </c>
    </row>
    <row r="56" spans="1:3" x14ac:dyDescent="0.25">
      <c r="B56" t="s">
        <v>2</v>
      </c>
      <c r="C56">
        <v>82.88</v>
      </c>
    </row>
    <row r="57" spans="1:3" x14ac:dyDescent="0.25">
      <c r="A57" t="s">
        <v>42</v>
      </c>
      <c r="B57" t="s">
        <v>1</v>
      </c>
      <c r="C57">
        <v>88.76</v>
      </c>
    </row>
    <row r="58" spans="1:3" x14ac:dyDescent="0.25">
      <c r="B58" t="s">
        <v>67</v>
      </c>
      <c r="C58">
        <v>88.38</v>
      </c>
    </row>
    <row r="59" spans="1:3" x14ac:dyDescent="0.25">
      <c r="B59" t="s">
        <v>66</v>
      </c>
      <c r="C59">
        <v>87.63</v>
      </c>
    </row>
    <row r="60" spans="1:3" x14ac:dyDescent="0.25">
      <c r="A60" t="s">
        <v>54</v>
      </c>
      <c r="B60" t="s">
        <v>1</v>
      </c>
      <c r="C60">
        <v>99.53</v>
      </c>
    </row>
    <row r="61" spans="1:3" x14ac:dyDescent="0.25">
      <c r="B61" t="s">
        <v>2</v>
      </c>
      <c r="C61">
        <v>87.03</v>
      </c>
    </row>
    <row r="62" spans="1:3" x14ac:dyDescent="0.25">
      <c r="B62" t="s">
        <v>66</v>
      </c>
      <c r="C62">
        <v>87.56</v>
      </c>
    </row>
    <row r="63" spans="1:3" x14ac:dyDescent="0.25">
      <c r="A63" t="s">
        <v>45</v>
      </c>
      <c r="B63" t="s">
        <v>1</v>
      </c>
      <c r="C63">
        <v>87.92</v>
      </c>
    </row>
    <row r="64" spans="1:3" x14ac:dyDescent="0.25">
      <c r="A64" s="7" t="s">
        <v>69</v>
      </c>
      <c r="B64" t="s">
        <v>1</v>
      </c>
      <c r="C64">
        <v>87.77</v>
      </c>
    </row>
    <row r="65" spans="1:3" x14ac:dyDescent="0.25">
      <c r="B65" t="s">
        <v>2</v>
      </c>
      <c r="C65">
        <v>87.31</v>
      </c>
    </row>
    <row r="66" spans="1:3" x14ac:dyDescent="0.25">
      <c r="A66" t="s">
        <v>44</v>
      </c>
      <c r="B66" t="s">
        <v>1</v>
      </c>
      <c r="C66">
        <v>87.68</v>
      </c>
    </row>
    <row r="67" spans="1:3" x14ac:dyDescent="0.25">
      <c r="B67" t="s">
        <v>2</v>
      </c>
      <c r="C67">
        <v>85.19</v>
      </c>
    </row>
    <row r="68" spans="1:3" x14ac:dyDescent="0.25">
      <c r="A68" s="5" t="s">
        <v>37</v>
      </c>
      <c r="B68" t="s">
        <v>1</v>
      </c>
      <c r="C68">
        <v>86.93</v>
      </c>
    </row>
    <row r="69" spans="1:3" x14ac:dyDescent="0.25">
      <c r="A69" s="5"/>
      <c r="B69" t="s">
        <v>2</v>
      </c>
      <c r="C69">
        <v>85.19</v>
      </c>
    </row>
    <row r="70" spans="1:3" x14ac:dyDescent="0.25">
      <c r="A70" s="5"/>
      <c r="B70" t="s">
        <v>67</v>
      </c>
      <c r="C70">
        <v>83.2</v>
      </c>
    </row>
    <row r="71" spans="1:3" x14ac:dyDescent="0.25">
      <c r="A71" s="5"/>
      <c r="B71" t="s">
        <v>66</v>
      </c>
      <c r="C71">
        <v>83.33</v>
      </c>
    </row>
    <row r="72" spans="1:3" x14ac:dyDescent="0.25">
      <c r="A72" s="6" t="s">
        <v>41</v>
      </c>
      <c r="B72" t="s">
        <v>1</v>
      </c>
      <c r="C72">
        <v>86.67</v>
      </c>
    </row>
    <row r="73" spans="1:3" x14ac:dyDescent="0.25">
      <c r="A73" s="5"/>
      <c r="B73" t="s">
        <v>67</v>
      </c>
      <c r="C73">
        <v>84.03</v>
      </c>
    </row>
    <row r="74" spans="1:3" x14ac:dyDescent="0.25">
      <c r="A74" s="6" t="s">
        <v>28</v>
      </c>
      <c r="B74" t="s">
        <v>1</v>
      </c>
      <c r="C74">
        <v>86.38</v>
      </c>
    </row>
    <row r="75" spans="1:3" x14ac:dyDescent="0.25">
      <c r="A75" s="5"/>
      <c r="B75" t="s">
        <v>2</v>
      </c>
      <c r="C75">
        <v>85.96</v>
      </c>
    </row>
    <row r="76" spans="1:3" x14ac:dyDescent="0.25">
      <c r="A76" s="5"/>
      <c r="B76" t="s">
        <v>66</v>
      </c>
      <c r="C76">
        <v>87.91</v>
      </c>
    </row>
    <row r="77" spans="1:3" x14ac:dyDescent="0.25">
      <c r="A77" s="6" t="s">
        <v>6</v>
      </c>
      <c r="B77" t="s">
        <v>1</v>
      </c>
      <c r="C77">
        <v>85.61</v>
      </c>
    </row>
    <row r="78" spans="1:3" x14ac:dyDescent="0.25">
      <c r="A78" s="5"/>
      <c r="B78" t="s">
        <v>2</v>
      </c>
      <c r="C78">
        <v>84.32</v>
      </c>
    </row>
    <row r="79" spans="1:3" x14ac:dyDescent="0.25">
      <c r="A79" s="5"/>
      <c r="B79" t="s">
        <v>66</v>
      </c>
      <c r="C79">
        <v>83.9</v>
      </c>
    </row>
    <row r="80" spans="1:3" x14ac:dyDescent="0.25">
      <c r="A80" s="6" t="s">
        <v>12</v>
      </c>
      <c r="B80" t="s">
        <v>1</v>
      </c>
      <c r="C80">
        <v>84.56</v>
      </c>
    </row>
    <row r="81" spans="1:3" x14ac:dyDescent="0.25">
      <c r="A81" s="5"/>
      <c r="B81" t="s">
        <v>2</v>
      </c>
      <c r="C81">
        <v>83.47</v>
      </c>
    </row>
    <row r="82" spans="1:3" x14ac:dyDescent="0.25">
      <c r="A82" s="5"/>
      <c r="B82" t="s">
        <v>67</v>
      </c>
      <c r="C82">
        <v>84.47</v>
      </c>
    </row>
    <row r="83" spans="1:3" x14ac:dyDescent="0.25">
      <c r="A83" s="5"/>
      <c r="B83" t="s">
        <v>66</v>
      </c>
      <c r="C83">
        <v>83.1</v>
      </c>
    </row>
    <row r="84" spans="1:3" x14ac:dyDescent="0.25">
      <c r="A84" s="5" t="s">
        <v>50</v>
      </c>
      <c r="B84" t="s">
        <v>1</v>
      </c>
      <c r="C84">
        <v>82.37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SYCOA119 Aniket Choudhar</dc:creator>
  <cp:lastModifiedBy>Shrutee Sanjay Dahake</cp:lastModifiedBy>
  <dcterms:created xsi:type="dcterms:W3CDTF">2026-07-25T13:38:19Z</dcterms:created>
  <dcterms:modified xsi:type="dcterms:W3CDTF">2026-07-28T09:32:45Z</dcterms:modified>
</cp:coreProperties>
</file>